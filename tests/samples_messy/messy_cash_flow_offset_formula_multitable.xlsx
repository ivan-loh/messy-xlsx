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s="1" t="inlineStr">
        <is>
          <t>category</t>
        </is>
      </c>
      <c r="D4" s="1" t="inlineStr">
        <is>
          <t>Jan_2025</t>
        </is>
      </c>
      <c r="E4" s="1" t="inlineStr">
        <is>
          <t>Feb_2025</t>
        </is>
      </c>
      <c r="F4" s="1" t="inlineStr">
        <is>
          <t>Mar_2025</t>
        </is>
      </c>
      <c r="G4" s="1" t="inlineStr">
        <is>
          <t>Apr_2025</t>
        </is>
      </c>
      <c r="H4" s="1" t="inlineStr">
        <is>
          <t>May_2025</t>
        </is>
      </c>
      <c r="I4" s="1" t="inlineStr">
        <is>
          <t>Jun_2025</t>
        </is>
      </c>
      <c r="J4" s="1" t="inlineStr">
        <is>
          <t>Jul_2025</t>
        </is>
      </c>
      <c r="K4" s="1" t="inlineStr">
        <is>
          <t>Aug_2025</t>
        </is>
      </c>
      <c r="L4" s="1" t="inlineStr">
        <is>
          <t>Sep_2025</t>
        </is>
      </c>
      <c r="M4" s="1" t="inlineStr">
        <is>
          <t>Oct_2025</t>
        </is>
      </c>
      <c r="N4" s="1" t="inlineStr">
        <is>
          <t>Nov_2025</t>
        </is>
      </c>
      <c r="O4" s="1" t="inlineStr">
        <is>
          <t>Dec_2025</t>
        </is>
      </c>
      <c r="P4" t="inlineStr">
        <is>
          <t>derived_metric</t>
        </is>
      </c>
    </row>
    <row r="5">
      <c r="C5" t="inlineStr">
        <is>
          <t>Cash Receipts - Collections</t>
        </is>
      </c>
      <c r="D5" t="n">
        <v>1095096.44</v>
      </c>
      <c r="E5" t="n">
        <v>811984.05</v>
      </c>
      <c r="F5" t="n">
        <v>1145154.31</v>
      </c>
      <c r="G5" t="n">
        <v>832425.28</v>
      </c>
      <c r="H5" t="n">
        <v>1157717.72</v>
      </c>
      <c r="I5" t="n">
        <v>810336.51</v>
      </c>
      <c r="J5" t="n">
        <v>1058242.81</v>
      </c>
      <c r="K5" t="n">
        <v>1040139.32</v>
      </c>
      <c r="L5" t="n">
        <v>830641.55</v>
      </c>
      <c r="M5" t="n">
        <v>987549.76</v>
      </c>
      <c r="N5" t="n">
        <v>1064814.85</v>
      </c>
      <c r="O5" t="n">
        <v>1089559.69</v>
      </c>
      <c r="P5">
        <f>D5+E5</f>
        <v/>
      </c>
    </row>
    <row r="6">
      <c r="C6" t="inlineStr">
        <is>
          <t>Cash Receipts - New Sales</t>
        </is>
      </c>
      <c r="D6" t="n">
        <v>396552.72</v>
      </c>
      <c r="E6" t="n">
        <v>529643.83</v>
      </c>
      <c r="F6" t="n">
        <v>516927.01</v>
      </c>
      <c r="G6" t="n">
        <v>506386.92</v>
      </c>
      <c r="H6" t="n">
        <v>494264.32</v>
      </c>
      <c r="I6" t="n">
        <v>344932.58</v>
      </c>
      <c r="J6" t="n">
        <v>525758.8</v>
      </c>
      <c r="K6" t="n">
        <v>472915.5</v>
      </c>
      <c r="L6" t="n">
        <v>352717.49</v>
      </c>
      <c r="M6" t="n">
        <v>452143.11</v>
      </c>
      <c r="N6" t="n">
        <v>565737.83</v>
      </c>
      <c r="O6" t="n">
        <v>382523.79</v>
      </c>
      <c r="P6">
        <f>D6+E6</f>
        <v/>
      </c>
    </row>
    <row r="7">
      <c r="C7" t="inlineStr">
        <is>
          <t>Payroll</t>
        </is>
      </c>
      <c r="D7" t="n">
        <v>-483536.54</v>
      </c>
      <c r="E7" t="n">
        <v>-421995.24</v>
      </c>
      <c r="F7" t="n">
        <v>-491636.62</v>
      </c>
      <c r="G7" t="n">
        <v>-451922.01</v>
      </c>
      <c r="H7" t="n">
        <v>-494275.24</v>
      </c>
      <c r="I7" t="n">
        <v>-464666.32</v>
      </c>
      <c r="J7" t="n">
        <v>-473919.59</v>
      </c>
      <c r="K7" t="n">
        <v>-452322.17</v>
      </c>
      <c r="L7" t="n">
        <v>-423677.13</v>
      </c>
      <c r="M7" t="n">
        <v>-453268.72</v>
      </c>
      <c r="N7" t="n">
        <v>-462210.43</v>
      </c>
      <c r="O7" t="n">
        <v>-485004.14</v>
      </c>
      <c r="P7">
        <f>D7+E7</f>
        <v/>
      </c>
    </row>
    <row r="8">
      <c r="C8" t="inlineStr">
        <is>
          <t>Rent</t>
        </is>
      </c>
      <c r="D8" t="n">
        <v>-120000</v>
      </c>
      <c r="E8" t="n">
        <v>-120000</v>
      </c>
      <c r="F8" t="n">
        <v>-120000</v>
      </c>
      <c r="G8" t="n">
        <v>-120000</v>
      </c>
      <c r="H8" t="n">
        <v>-120000</v>
      </c>
      <c r="I8" t="n">
        <v>-120000</v>
      </c>
      <c r="J8" t="n">
        <v>-120000</v>
      </c>
      <c r="K8" t="n">
        <v>-120000</v>
      </c>
      <c r="L8" t="n">
        <v>-120000</v>
      </c>
      <c r="M8" t="n">
        <v>-120000</v>
      </c>
      <c r="N8" t="n">
        <v>-120000</v>
      </c>
      <c r="O8" t="n">
        <v>-120000</v>
      </c>
      <c r="P8">
        <f>D8+E8</f>
        <v/>
      </c>
    </row>
    <row r="9">
      <c r="C9" t="inlineStr">
        <is>
          <t>Utilities</t>
        </is>
      </c>
      <c r="D9" t="n">
        <v>-38618.44</v>
      </c>
      <c r="E9" t="n">
        <v>-36123.48</v>
      </c>
      <c r="F9" t="n">
        <v>-39175.38</v>
      </c>
      <c r="G9" t="n">
        <v>-35973.13</v>
      </c>
      <c r="H9" t="n">
        <v>-36845.77</v>
      </c>
      <c r="I9" t="n">
        <v>-38104.77</v>
      </c>
      <c r="J9" t="n">
        <v>-39574.8</v>
      </c>
      <c r="K9" t="n">
        <v>-37544.3</v>
      </c>
      <c r="L9" t="n">
        <v>-37492.92</v>
      </c>
      <c r="M9" t="n">
        <v>-39779.27</v>
      </c>
      <c r="N9" t="n">
        <v>-36816.66</v>
      </c>
      <c r="O9" t="n">
        <v>-38111.39</v>
      </c>
      <c r="P9">
        <f>D9+E9</f>
        <v/>
      </c>
    </row>
    <row r="10">
      <c r="C10" t="inlineStr">
        <is>
          <t>Vendor Payments</t>
        </is>
      </c>
      <c r="D10" t="n">
        <v>-469445.17</v>
      </c>
      <c r="E10" t="n">
        <v>-438176.71</v>
      </c>
      <c r="F10" t="n">
        <v>-448439.61</v>
      </c>
      <c r="G10" t="n">
        <v>-387795.81</v>
      </c>
      <c r="H10" t="n">
        <v>-493728.73</v>
      </c>
      <c r="I10" t="n">
        <v>-323031.51</v>
      </c>
      <c r="J10" t="n">
        <v>-462553.18</v>
      </c>
      <c r="K10" t="n">
        <v>-482050.72</v>
      </c>
      <c r="L10" t="n">
        <v>-457661.97</v>
      </c>
      <c r="M10" t="n">
        <v>-309770.63</v>
      </c>
      <c r="N10" t="n">
        <v>-317737.71</v>
      </c>
      <c r="O10" t="n">
        <v>-324588.47</v>
      </c>
      <c r="P10">
        <f>D10+E10</f>
        <v/>
      </c>
    </row>
    <row r="11">
      <c r="C11" t="inlineStr">
        <is>
          <t>Debt Service</t>
        </is>
      </c>
      <c r="D11" t="n">
        <v>-50000</v>
      </c>
      <c r="E11" t="n">
        <v>-50000</v>
      </c>
      <c r="F11" t="n">
        <v>-50000</v>
      </c>
      <c r="G11" t="n">
        <v>-50000</v>
      </c>
      <c r="H11" t="n">
        <v>-50000</v>
      </c>
      <c r="I11" t="n">
        <v>-50000</v>
      </c>
      <c r="J11" t="n">
        <v>-50000</v>
      </c>
      <c r="K11" t="n">
        <v>-50000</v>
      </c>
      <c r="L11" t="n">
        <v>-50000</v>
      </c>
      <c r="M11" t="n">
        <v>-50000</v>
      </c>
      <c r="N11" t="n">
        <v>-50000</v>
      </c>
      <c r="O11" t="n">
        <v>-50000</v>
      </c>
      <c r="P11">
        <f>D11+E11</f>
        <v/>
      </c>
    </row>
    <row r="12">
      <c r="C12" t="inlineStr">
        <is>
          <t>Capital Expenditures</t>
        </is>
      </c>
      <c r="D12" t="n">
        <v>0</v>
      </c>
      <c r="E12" t="n">
        <v>0</v>
      </c>
      <c r="F12" t="n">
        <v>-163703.92</v>
      </c>
      <c r="G12" t="n">
        <v>0</v>
      </c>
      <c r="H12" t="n">
        <v>0</v>
      </c>
      <c r="I12" t="n">
        <v>-191425.9</v>
      </c>
      <c r="J12" t="n">
        <v>0</v>
      </c>
      <c r="K12" t="n">
        <v>0</v>
      </c>
      <c r="L12" t="n">
        <v>-131411.36</v>
      </c>
      <c r="M12" t="n">
        <v>0</v>
      </c>
      <c r="N12" t="n">
        <v>0</v>
      </c>
      <c r="O12" t="n">
        <v>-141297.24</v>
      </c>
      <c r="P12">
        <f>D12+E12</f>
        <v/>
      </c>
    </row>
    <row r="13">
      <c r="C13" t="inlineStr">
        <is>
          <t>Tax Payments</t>
        </is>
      </c>
      <c r="D13" t="n">
        <v>0</v>
      </c>
      <c r="E13" t="n">
        <v>0</v>
      </c>
      <c r="F13" t="n">
        <v>-150000</v>
      </c>
      <c r="G13" t="n">
        <v>0</v>
      </c>
      <c r="H13" t="n">
        <v>0</v>
      </c>
      <c r="I13" t="n">
        <v>-150000</v>
      </c>
      <c r="J13" t="n">
        <v>0</v>
      </c>
      <c r="K13" t="n">
        <v>0</v>
      </c>
      <c r="L13" t="n">
        <v>-150000</v>
      </c>
      <c r="M13" t="n">
        <v>0</v>
      </c>
      <c r="N13" t="n">
        <v>0</v>
      </c>
      <c r="O13" t="n">
        <v>-150000</v>
      </c>
      <c r="P13">
        <f>D13+E13</f>
        <v/>
      </c>
    </row>
    <row r="14"/>
    <row r="15"/>
    <row r="18">
      <c r="A18" t="inlineStr">
        <is>
          <t>Secondary extract</t>
        </is>
      </c>
    </row>
    <row r="19">
      <c r="C19" t="inlineStr">
        <is>
          <t>category</t>
        </is>
      </c>
      <c r="D19" t="inlineStr">
        <is>
          <t>Jan_2025</t>
        </is>
      </c>
      <c r="E19" t="inlineStr">
        <is>
          <t>Feb_2025</t>
        </is>
      </c>
      <c r="F19" t="inlineStr">
        <is>
          <t>Mar_2025</t>
        </is>
      </c>
      <c r="G19" t="inlineStr">
        <is>
          <t>Apr_2025</t>
        </is>
      </c>
      <c r="H19" t="inlineStr">
        <is>
          <t>May_2025</t>
        </is>
      </c>
      <c r="I19" t="inlineStr">
        <is>
          <t>Jun_2025</t>
        </is>
      </c>
      <c r="J19" t="inlineStr">
        <is>
          <t>Jul_2025</t>
        </is>
      </c>
      <c r="K19" t="inlineStr">
        <is>
          <t>Aug_2025</t>
        </is>
      </c>
      <c r="L19" t="inlineStr">
        <is>
          <t>Sep_2025</t>
        </is>
      </c>
      <c r="M19" t="inlineStr">
        <is>
          <t>Oct_2025</t>
        </is>
      </c>
      <c r="N19" t="inlineStr">
        <is>
          <t>Nov_2025</t>
        </is>
      </c>
      <c r="O19" t="inlineStr">
        <is>
          <t>Dec_2025</t>
        </is>
      </c>
      <c r="P19" t="inlineStr">
        <is>
          <t>derived_metric</t>
        </is>
      </c>
    </row>
    <row r="20">
      <c r="C20" t="inlineStr">
        <is>
          <t>Cash Receipts - Collections</t>
        </is>
      </c>
      <c r="D20" t="n">
        <v>1095096.44</v>
      </c>
      <c r="E20" t="n">
        <v>811984.05</v>
      </c>
      <c r="F20" t="n">
        <v>1145154.31</v>
      </c>
      <c r="G20" t="n">
        <v>832425.28</v>
      </c>
      <c r="H20" t="n">
        <v>1157717.72</v>
      </c>
      <c r="I20" t="n">
        <v>810336.51</v>
      </c>
      <c r="J20" t="n">
        <v>1058242.81</v>
      </c>
      <c r="K20" t="n">
        <v>1040139.32</v>
      </c>
      <c r="L20" t="n">
        <v>830641.55</v>
      </c>
      <c r="M20" t="n">
        <v>987549.76</v>
      </c>
      <c r="N20" t="n">
        <v>1064814.85</v>
      </c>
      <c r="O20" t="n">
        <v>1089559.69</v>
      </c>
      <c r="P20">
        <f>D5+E5</f>
        <v/>
      </c>
    </row>
    <row r="21">
      <c r="C21" t="inlineStr">
        <is>
          <t>Cash Receipts - New Sales</t>
        </is>
      </c>
      <c r="D21" t="n">
        <v>396552.72</v>
      </c>
      <c r="E21" t="n">
        <v>529643.83</v>
      </c>
      <c r="F21" t="n">
        <v>516927.01</v>
      </c>
      <c r="G21" t="n">
        <v>506386.92</v>
      </c>
      <c r="H21" t="n">
        <v>494264.32</v>
      </c>
      <c r="I21" t="n">
        <v>344932.58</v>
      </c>
      <c r="J21" t="n">
        <v>525758.8</v>
      </c>
      <c r="K21" t="n">
        <v>472915.5</v>
      </c>
      <c r="L21" t="n">
        <v>352717.49</v>
      </c>
      <c r="M21" t="n">
        <v>452143.11</v>
      </c>
      <c r="N21" t="n">
        <v>565737.83</v>
      </c>
      <c r="O21" t="n">
        <v>382523.79</v>
      </c>
      <c r="P21">
        <f>D6+E6</f>
        <v/>
      </c>
    </row>
    <row r="22">
      <c r="C22" t="inlineStr">
        <is>
          <t>Payroll</t>
        </is>
      </c>
      <c r="D22" t="n">
        <v>-483536.54</v>
      </c>
      <c r="E22" t="n">
        <v>-421995.24</v>
      </c>
      <c r="F22" t="n">
        <v>-491636.62</v>
      </c>
      <c r="G22" t="n">
        <v>-451922.01</v>
      </c>
      <c r="H22" t="n">
        <v>-494275.24</v>
      </c>
      <c r="I22" t="n">
        <v>-464666.32</v>
      </c>
      <c r="J22" t="n">
        <v>-473919.59</v>
      </c>
      <c r="K22" t="n">
        <v>-452322.17</v>
      </c>
      <c r="L22" t="n">
        <v>-423677.13</v>
      </c>
      <c r="M22" t="n">
        <v>-453268.72</v>
      </c>
      <c r="N22" t="n">
        <v>-462210.43</v>
      </c>
      <c r="O22" t="n">
        <v>-485004.14</v>
      </c>
      <c r="P22">
        <f>D7+E7</f>
        <v/>
      </c>
    </row>
    <row r="23">
      <c r="C23" t="inlineStr">
        <is>
          <t>Rent</t>
        </is>
      </c>
      <c r="D23" t="n">
        <v>-120000</v>
      </c>
      <c r="E23" t="n">
        <v>-120000</v>
      </c>
      <c r="F23" t="n">
        <v>-120000</v>
      </c>
      <c r="G23" t="n">
        <v>-120000</v>
      </c>
      <c r="H23" t="n">
        <v>-120000</v>
      </c>
      <c r="I23" t="n">
        <v>-120000</v>
      </c>
      <c r="J23" t="n">
        <v>-120000</v>
      </c>
      <c r="K23" t="n">
        <v>-120000</v>
      </c>
      <c r="L23" t="n">
        <v>-120000</v>
      </c>
      <c r="M23" t="n">
        <v>-120000</v>
      </c>
      <c r="N23" t="n">
        <v>-120000</v>
      </c>
      <c r="O23" t="n">
        <v>-120000</v>
      </c>
      <c r="P23">
        <f>D8+E8</f>
        <v/>
      </c>
    </row>
    <row r="25">
      <c r="A25" t="inlineStr">
        <is>
          <t>Grand Total</t>
        </is>
      </c>
    </row>
    <row r="26">
      <c r="A26" t="inlineStr">
        <is>
          <t>Prepared by</t>
        </is>
      </c>
      <c r="B26" t="inlineStr">
        <is>
          <t>Planning</t>
        </is>
      </c>
    </row>
    <row r="27">
      <c r="A27" t="inlineStr">
        <is>
          <t>Notes</t>
        </is>
      </c>
      <c r="B27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